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ceciliar_ad_helsinki_fi/Documents/Shared/Nina/N2O_actinometry_experiment/"/>
    </mc:Choice>
  </mc:AlternateContent>
  <xr:revisionPtr revIDLastSave="10" documentId="11_F25DC773A252ABDACC1048FA19DF4B805BDE58ED" xr6:coauthVersionLast="47" xr6:coauthVersionMax="47" xr10:uidLastSave="{A4E0AEDC-173F-4D7E-992B-727B06A47EE1}"/>
  <bookViews>
    <workbookView xWindow="-120" yWindow="-120" windowWidth="29040" windowHeight="15720" xr2:uid="{00000000-000D-0000-FFFF-FFFF00000000}"/>
  </bookViews>
  <sheets>
    <sheet name="exampl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6" i="1"/>
  <c r="C35" i="1"/>
  <c r="C34" i="1"/>
  <c r="C33" i="1"/>
  <c r="C32" i="1"/>
  <c r="C31" i="1"/>
  <c r="C30" i="1"/>
  <c r="C29" i="1"/>
  <c r="C28" i="1"/>
  <c r="Q22" i="1"/>
  <c r="M22" i="1"/>
  <c r="L22" i="1" s="1"/>
  <c r="N22" i="1" s="1"/>
  <c r="Q21" i="1"/>
  <c r="M21" i="1"/>
  <c r="O21" i="1" s="1"/>
  <c r="L21" i="1"/>
  <c r="N21" i="1" s="1"/>
  <c r="Q20" i="1"/>
  <c r="M20" i="1"/>
  <c r="L20" i="1" s="1"/>
  <c r="Q19" i="1"/>
  <c r="M19" i="1"/>
  <c r="O19" i="1" s="1"/>
  <c r="L19" i="1"/>
  <c r="N19" i="1" s="1"/>
  <c r="Q18" i="1"/>
  <c r="M18" i="1"/>
  <c r="L18" i="1" s="1"/>
  <c r="Q17" i="1"/>
  <c r="M17" i="1"/>
  <c r="O17" i="1" s="1"/>
  <c r="L17" i="1"/>
  <c r="N17" i="1" s="1"/>
  <c r="Q16" i="1"/>
  <c r="M16" i="1"/>
  <c r="O16" i="1" s="1"/>
  <c r="L16" i="1"/>
  <c r="N16" i="1" s="1"/>
  <c r="Q15" i="1"/>
  <c r="M15" i="1"/>
  <c r="L15" i="1" s="1"/>
  <c r="N15" i="1" s="1"/>
  <c r="E15" i="1"/>
  <c r="S16" i="1" s="1"/>
  <c r="Q14" i="1"/>
  <c r="M14" i="1"/>
  <c r="O14" i="1" s="1"/>
  <c r="L14" i="1"/>
  <c r="N14" i="1" s="1"/>
  <c r="Q13" i="1"/>
  <c r="M13" i="1"/>
  <c r="L13" i="1" s="1"/>
  <c r="O13" i="1" l="1"/>
  <c r="N13" i="1"/>
  <c r="O18" i="1"/>
  <c r="N18" i="1"/>
  <c r="N20" i="1"/>
  <c r="O20" i="1"/>
  <c r="R18" i="1"/>
  <c r="R20" i="1"/>
  <c r="O22" i="1"/>
  <c r="R22" i="1" s="1"/>
  <c r="R15" i="1"/>
  <c r="S20" i="1"/>
  <c r="S15" i="1"/>
  <c r="S17" i="1"/>
  <c r="R14" i="1"/>
  <c r="R19" i="1"/>
  <c r="R13" i="1"/>
  <c r="S13" i="1"/>
  <c r="O15" i="1"/>
  <c r="S18" i="1"/>
  <c r="R17" i="1"/>
  <c r="S22" i="1"/>
  <c r="S14" i="1"/>
  <c r="S19" i="1"/>
  <c r="R21" i="1"/>
  <c r="R16" i="1"/>
  <c r="S21" i="1"/>
  <c r="AB31" i="1" l="1"/>
  <c r="AB39" i="1" s="1"/>
  <c r="AB30" i="1"/>
  <c r="AB38" i="1" s="1"/>
  <c r="AB33" i="1"/>
  <c r="AB41" i="1" s="1"/>
  <c r="AB32" i="1"/>
  <c r="AB40" i="1" s="1"/>
</calcChain>
</file>

<file path=xl/sharedStrings.xml><?xml version="1.0" encoding="utf-8"?>
<sst xmlns="http://schemas.openxmlformats.org/spreadsheetml/2006/main" count="75" uniqueCount="64">
  <si>
    <t>Info:</t>
  </si>
  <si>
    <t>Date</t>
  </si>
  <si>
    <t>dd/mm/yyyy</t>
  </si>
  <si>
    <t>Calibrator</t>
  </si>
  <si>
    <t>n</t>
  </si>
  <si>
    <t>Operator</t>
  </si>
  <si>
    <t>Name Surname</t>
  </si>
  <si>
    <t>Email address</t>
  </si>
  <si>
    <t>name.surname@helsinki.fi</t>
  </si>
  <si>
    <t>It-product calculation:</t>
  </si>
  <si>
    <t>Actinometry experiment:</t>
  </si>
  <si>
    <t>N2O bottle background:</t>
  </si>
  <si>
    <t>monitor background:</t>
  </si>
  <si>
    <t>parameter</t>
  </si>
  <si>
    <t>value or expression</t>
  </si>
  <si>
    <t>step</t>
  </si>
  <si>
    <t>time (UTC+2)</t>
  </si>
  <si>
    <r>
      <t>volume mixing ratio N</t>
    </r>
    <r>
      <rPr>
        <b/>
        <vertAlign val="subscript"/>
        <sz val="16"/>
        <color theme="1"/>
        <rFont val="Arial"/>
        <family val="2"/>
      </rPr>
      <t>2</t>
    </r>
    <r>
      <rPr>
        <b/>
        <sz val="16"/>
        <color theme="1"/>
        <rFont val="Arial"/>
        <family val="2"/>
      </rPr>
      <t>O/N</t>
    </r>
    <r>
      <rPr>
        <b/>
        <vertAlign val="subscript"/>
        <sz val="16"/>
        <color theme="1"/>
        <rFont val="Arial"/>
        <family val="2"/>
      </rPr>
      <t>2</t>
    </r>
  </si>
  <si>
    <r>
      <t>standard N</t>
    </r>
    <r>
      <rPr>
        <b/>
        <vertAlign val="subscript"/>
        <sz val="16"/>
        <rFont val="Arial"/>
        <family val="2"/>
      </rPr>
      <t>2</t>
    </r>
    <r>
      <rPr>
        <b/>
        <sz val="16"/>
        <rFont val="Arial"/>
        <family val="2"/>
      </rPr>
      <t>O flow (sccm)</t>
    </r>
  </si>
  <si>
    <r>
      <t>standard N</t>
    </r>
    <r>
      <rPr>
        <b/>
        <vertAlign val="subscript"/>
        <sz val="16"/>
        <rFont val="Arial"/>
        <family val="2"/>
      </rPr>
      <t>2</t>
    </r>
    <r>
      <rPr>
        <b/>
        <sz val="16"/>
        <rFont val="Arial"/>
        <family val="2"/>
      </rPr>
      <t xml:space="preserve"> flow (sccm)</t>
    </r>
  </si>
  <si>
    <r>
      <t>[N</t>
    </r>
    <r>
      <rPr>
        <b/>
        <vertAlign val="subscript"/>
        <sz val="16"/>
        <color theme="1"/>
        <rFont val="Arial"/>
        <family val="2"/>
      </rPr>
      <t>2</t>
    </r>
    <r>
      <rPr>
        <b/>
        <sz val="16"/>
        <color theme="1"/>
        <rFont val="Arial"/>
        <family val="2"/>
      </rPr>
      <t>O] (ppbv)</t>
    </r>
  </si>
  <si>
    <r>
      <t>[N</t>
    </r>
    <r>
      <rPr>
        <b/>
        <vertAlign val="subscript"/>
        <sz val="16"/>
        <color theme="1"/>
        <rFont val="Arial"/>
        <family val="2"/>
      </rPr>
      <t>2</t>
    </r>
    <r>
      <rPr>
        <b/>
        <sz val="16"/>
        <color theme="1"/>
        <rFont val="Arial"/>
        <family val="2"/>
      </rPr>
      <t>] (ppbv)</t>
    </r>
  </si>
  <si>
    <r>
      <t>[NO</t>
    </r>
    <r>
      <rPr>
        <b/>
        <vertAlign val="subscript"/>
        <sz val="16"/>
        <color theme="1"/>
        <rFont val="Arial"/>
        <family val="2"/>
      </rPr>
      <t>x</t>
    </r>
    <r>
      <rPr>
        <b/>
        <sz val="16"/>
        <color theme="1"/>
        <rFont val="Arial"/>
        <family val="2"/>
      </rPr>
      <t>] (ppbv)</t>
    </r>
  </si>
  <si>
    <r>
      <t>[NO</t>
    </r>
    <r>
      <rPr>
        <b/>
        <vertAlign val="subscript"/>
        <sz val="16"/>
        <color theme="1"/>
        <rFont val="Arial"/>
        <family val="2"/>
      </rPr>
      <t>x</t>
    </r>
    <r>
      <rPr>
        <b/>
        <sz val="16"/>
        <color theme="1"/>
        <rFont val="Arial"/>
        <family val="2"/>
      </rPr>
      <t>] corrected (ppbv)</t>
    </r>
  </si>
  <si>
    <r>
      <t>It-product (photons cm</t>
    </r>
    <r>
      <rPr>
        <b/>
        <vertAlign val="superscript"/>
        <sz val="16"/>
        <color theme="1"/>
        <rFont val="Arial"/>
        <family val="2"/>
      </rPr>
      <t>-2</t>
    </r>
    <r>
      <rPr>
        <b/>
        <sz val="16"/>
        <color theme="1"/>
        <rFont val="Arial"/>
        <family val="2"/>
      </rPr>
      <t>)</t>
    </r>
  </si>
  <si>
    <r>
      <t>corrected 
It-product (photons cm</t>
    </r>
    <r>
      <rPr>
        <b/>
        <vertAlign val="superscript"/>
        <sz val="16"/>
        <color theme="1"/>
        <rFont val="Arial"/>
        <family val="2"/>
      </rPr>
      <t>-2</t>
    </r>
    <r>
      <rPr>
        <b/>
        <sz val="16"/>
        <color theme="1"/>
        <rFont val="Arial"/>
        <family val="2"/>
      </rPr>
      <t>)</t>
    </r>
  </si>
  <si>
    <r>
      <t>R1, σ</t>
    </r>
    <r>
      <rPr>
        <vertAlign val="subscript"/>
        <sz val="16"/>
        <color theme="1"/>
        <rFont val="Arial"/>
        <family val="2"/>
      </rPr>
      <t>N2O</t>
    </r>
    <r>
      <rPr>
        <sz val="16"/>
        <color theme="1"/>
        <rFont val="Arial"/>
        <family val="2"/>
      </rPr>
      <t xml:space="preserve"> (cm</t>
    </r>
    <r>
      <rPr>
        <vertAlign val="superscript"/>
        <sz val="16"/>
        <color theme="1"/>
        <rFont val="Arial"/>
        <family val="2"/>
      </rPr>
      <t>2</t>
    </r>
    <r>
      <rPr>
        <sz val="16"/>
        <color theme="1"/>
        <rFont val="Arial"/>
        <family val="2"/>
      </rPr>
      <t>)</t>
    </r>
  </si>
  <si>
    <t>11:51-12:00</t>
  </si>
  <si>
    <t>08:05-08:16</t>
  </si>
  <si>
    <t>07:55-08:05</t>
  </si>
  <si>
    <r>
      <t>R1, Φ</t>
    </r>
    <r>
      <rPr>
        <vertAlign val="subscript"/>
        <sz val="16"/>
        <color theme="1"/>
        <rFont val="Arial"/>
        <family val="2"/>
      </rPr>
      <t>N2O</t>
    </r>
    <r>
      <rPr>
        <sz val="16"/>
        <color theme="1"/>
        <rFont val="Arial"/>
        <family val="2"/>
      </rPr>
      <t xml:space="preserve"> (cm</t>
    </r>
    <r>
      <rPr>
        <vertAlign val="superscript"/>
        <sz val="16"/>
        <color theme="1"/>
        <rFont val="Arial"/>
        <family val="2"/>
      </rPr>
      <t>2</t>
    </r>
    <r>
      <rPr>
        <sz val="16"/>
        <color theme="1"/>
        <rFont val="Arial"/>
        <family val="2"/>
      </rPr>
      <t>)</t>
    </r>
  </si>
  <si>
    <t>12:00-12:10</t>
  </si>
  <si>
    <t>08:17-08:25</t>
  </si>
  <si>
    <r>
      <t>R2, k</t>
    </r>
    <r>
      <rPr>
        <vertAlign val="subscript"/>
        <sz val="16"/>
        <color theme="1"/>
        <rFont val="Arial"/>
        <family val="2"/>
      </rPr>
      <t>2</t>
    </r>
    <r>
      <rPr>
        <sz val="16"/>
        <color theme="1"/>
        <rFont val="Arial"/>
        <family val="2"/>
      </rPr>
      <t xml:space="preserve"> (cm</t>
    </r>
    <r>
      <rPr>
        <vertAlign val="superscript"/>
        <sz val="16"/>
        <color theme="1"/>
        <rFont val="Arial"/>
        <family val="2"/>
      </rPr>
      <t>3</t>
    </r>
    <r>
      <rPr>
        <sz val="16"/>
        <color theme="1"/>
        <rFont val="Arial"/>
        <family val="2"/>
      </rPr>
      <t xml:space="preserve"> mol</t>
    </r>
    <r>
      <rPr>
        <vertAlign val="superscript"/>
        <sz val="16"/>
        <color theme="1"/>
        <rFont val="Arial"/>
        <family val="2"/>
      </rPr>
      <t>-1</t>
    </r>
    <r>
      <rPr>
        <sz val="16"/>
        <color theme="1"/>
        <rFont val="Arial"/>
        <family val="2"/>
      </rPr>
      <t xml:space="preserve"> s</t>
    </r>
    <r>
      <rPr>
        <vertAlign val="superscript"/>
        <sz val="16"/>
        <color theme="1"/>
        <rFont val="Arial"/>
        <family val="2"/>
      </rPr>
      <t>-1</t>
    </r>
    <r>
      <rPr>
        <sz val="16"/>
        <color theme="1"/>
        <rFont val="Arial"/>
        <family val="2"/>
      </rPr>
      <t>)</t>
    </r>
  </si>
  <si>
    <t>12:10-12:20</t>
  </si>
  <si>
    <t>08:25-08:37</t>
  </si>
  <si>
    <r>
      <t>R3, k</t>
    </r>
    <r>
      <rPr>
        <vertAlign val="subscript"/>
        <sz val="16"/>
        <color theme="1"/>
        <rFont val="Arial"/>
        <family val="2"/>
      </rPr>
      <t>3</t>
    </r>
    <r>
      <rPr>
        <sz val="16"/>
        <color theme="1"/>
        <rFont val="Arial"/>
        <family val="2"/>
      </rPr>
      <t xml:space="preserve"> (cm</t>
    </r>
    <r>
      <rPr>
        <vertAlign val="superscript"/>
        <sz val="16"/>
        <color theme="1"/>
        <rFont val="Arial"/>
        <family val="2"/>
      </rPr>
      <t>3</t>
    </r>
    <r>
      <rPr>
        <sz val="16"/>
        <color theme="1"/>
        <rFont val="Arial"/>
        <family val="2"/>
      </rPr>
      <t xml:space="preserve"> mol</t>
    </r>
    <r>
      <rPr>
        <vertAlign val="superscript"/>
        <sz val="16"/>
        <color theme="1"/>
        <rFont val="Arial"/>
        <family val="2"/>
      </rPr>
      <t>-1</t>
    </r>
    <r>
      <rPr>
        <sz val="16"/>
        <color theme="1"/>
        <rFont val="Arial"/>
        <family val="2"/>
      </rPr>
      <t xml:space="preserve"> s</t>
    </r>
    <r>
      <rPr>
        <vertAlign val="superscript"/>
        <sz val="16"/>
        <color theme="1"/>
        <rFont val="Arial"/>
        <family val="2"/>
      </rPr>
      <t>-1</t>
    </r>
    <r>
      <rPr>
        <sz val="16"/>
        <color theme="1"/>
        <rFont val="Arial"/>
        <family val="2"/>
      </rPr>
      <t>)</t>
    </r>
  </si>
  <si>
    <t>12:21-12:30</t>
  </si>
  <si>
    <t>08:38-08:45</t>
  </si>
  <si>
    <r>
      <t>R4, k</t>
    </r>
    <r>
      <rPr>
        <vertAlign val="subscript"/>
        <sz val="16"/>
        <color theme="1"/>
        <rFont val="Arial"/>
        <family val="2"/>
      </rPr>
      <t>4</t>
    </r>
    <r>
      <rPr>
        <sz val="16"/>
        <color theme="1"/>
        <rFont val="Arial"/>
        <family val="2"/>
      </rPr>
      <t xml:space="preserve"> (cm</t>
    </r>
    <r>
      <rPr>
        <vertAlign val="superscript"/>
        <sz val="16"/>
        <color theme="1"/>
        <rFont val="Arial"/>
        <family val="2"/>
      </rPr>
      <t>3</t>
    </r>
    <r>
      <rPr>
        <sz val="16"/>
        <color theme="1"/>
        <rFont val="Arial"/>
        <family val="2"/>
      </rPr>
      <t xml:space="preserve"> mol</t>
    </r>
    <r>
      <rPr>
        <vertAlign val="superscript"/>
        <sz val="16"/>
        <color theme="1"/>
        <rFont val="Arial"/>
        <family val="2"/>
      </rPr>
      <t>-1</t>
    </r>
    <r>
      <rPr>
        <sz val="16"/>
        <color theme="1"/>
        <rFont val="Arial"/>
        <family val="2"/>
      </rPr>
      <t xml:space="preserve"> s</t>
    </r>
    <r>
      <rPr>
        <vertAlign val="superscript"/>
        <sz val="16"/>
        <color theme="1"/>
        <rFont val="Arial"/>
        <family val="2"/>
      </rPr>
      <t>-1</t>
    </r>
    <r>
      <rPr>
        <sz val="16"/>
        <color theme="1"/>
        <rFont val="Arial"/>
        <family val="2"/>
      </rPr>
      <t>)</t>
    </r>
  </si>
  <si>
    <t>12:30-12:40</t>
  </si>
  <si>
    <t>08:45-08:55</t>
  </si>
  <si>
    <r>
      <t>R5, k</t>
    </r>
    <r>
      <rPr>
        <vertAlign val="subscript"/>
        <sz val="16"/>
        <color theme="1"/>
        <rFont val="Arial"/>
        <family val="2"/>
      </rPr>
      <t>5</t>
    </r>
    <r>
      <rPr>
        <sz val="16"/>
        <color theme="1"/>
        <rFont val="Arial"/>
        <family val="2"/>
      </rPr>
      <t xml:space="preserve"> (cm</t>
    </r>
    <r>
      <rPr>
        <vertAlign val="superscript"/>
        <sz val="16"/>
        <color theme="1"/>
        <rFont val="Arial"/>
        <family val="2"/>
      </rPr>
      <t>3</t>
    </r>
    <r>
      <rPr>
        <sz val="16"/>
        <color theme="1"/>
        <rFont val="Arial"/>
        <family val="2"/>
      </rPr>
      <t xml:space="preserve"> mol</t>
    </r>
    <r>
      <rPr>
        <vertAlign val="superscript"/>
        <sz val="16"/>
        <color theme="1"/>
        <rFont val="Arial"/>
        <family val="2"/>
      </rPr>
      <t>-1</t>
    </r>
    <r>
      <rPr>
        <sz val="16"/>
        <color theme="1"/>
        <rFont val="Arial"/>
        <family val="2"/>
      </rPr>
      <t xml:space="preserve"> s</t>
    </r>
    <r>
      <rPr>
        <vertAlign val="superscript"/>
        <sz val="16"/>
        <color theme="1"/>
        <rFont val="Arial"/>
        <family val="2"/>
      </rPr>
      <t>-1</t>
    </r>
    <r>
      <rPr>
        <sz val="16"/>
        <color theme="1"/>
        <rFont val="Arial"/>
        <family val="2"/>
      </rPr>
      <t>)</t>
    </r>
  </si>
  <si>
    <t>12:40-12:50</t>
  </si>
  <si>
    <t>08:55-09:05</t>
  </si>
  <si>
    <t>12:50-13:00</t>
  </si>
  <si>
    <t>09:05-09:15</t>
  </si>
  <si>
    <t>T (K)</t>
  </si>
  <si>
    <t>13:03-13:10</t>
  </si>
  <si>
    <t>09:15-09:25</t>
  </si>
  <si>
    <t>13:11-13:20</t>
  </si>
  <si>
    <t>09:25-09:35</t>
  </si>
  <si>
    <t>13:20-13:30</t>
  </si>
  <si>
    <t>09:35-09:45</t>
  </si>
  <si>
    <t>UV-light attenuation correction:</t>
  </si>
  <si>
    <t>volume mixing ratio N2O/N2</t>
  </si>
  <si>
    <t>geometry correction factor K</t>
  </si>
  <si>
    <t>RESULTS (@7.5 lpm):</t>
  </si>
  <si>
    <t>It_mean</t>
  </si>
  <si>
    <t>It_median</t>
  </si>
  <si>
    <t>It_corrected_mean</t>
  </si>
  <si>
    <t>It_corrected_median</t>
  </si>
  <si>
    <t>RESULTS (@10 lpm):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</si>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</sst>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;@"/>
    <numFmt numFmtId="165" formatCode="0.000"/>
    <numFmt numFmtId="166" formatCode="0.0000E+00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9" tint="-0.49998474074526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theme="9" tint="-0.249977111117893"/>
      <name val="Arial"/>
      <family val="2"/>
    </font>
    <font>
      <u/>
      <sz val="16"/>
      <color theme="9" tint="-0.249977111117893"/>
      <name val="Arial"/>
      <family val="2"/>
    </font>
    <font>
      <b/>
      <sz val="16"/>
      <color theme="6" tint="-0.499984740745262"/>
      <name val="Arial"/>
      <family val="2"/>
    </font>
    <font>
      <b/>
      <vertAlign val="subscript"/>
      <sz val="16"/>
      <color theme="1"/>
      <name val="Arial"/>
      <family val="2"/>
    </font>
    <font>
      <b/>
      <sz val="16"/>
      <name val="Arial"/>
      <family val="2"/>
    </font>
    <font>
      <b/>
      <vertAlign val="subscript"/>
      <sz val="16"/>
      <name val="Arial"/>
      <family val="2"/>
    </font>
    <font>
      <b/>
      <vertAlign val="superscript"/>
      <sz val="16"/>
      <color theme="1"/>
      <name val="Arial"/>
      <family val="2"/>
    </font>
    <font>
      <vertAlign val="subscript"/>
      <sz val="16"/>
      <color theme="1"/>
      <name val="Arial"/>
      <family val="2"/>
    </font>
    <font>
      <vertAlign val="superscript"/>
      <sz val="16"/>
      <color theme="1"/>
      <name val="Arial"/>
      <family val="2"/>
    </font>
    <font>
      <sz val="16"/>
      <name val="Arial"/>
      <family val="2"/>
    </font>
    <font>
      <sz val="16"/>
      <color rgb="FF4E8F00"/>
      <name val="Arial"/>
      <family val="2"/>
    </font>
    <font>
      <sz val="16"/>
      <color theme="6"/>
      <name val="Arial"/>
      <family val="2"/>
    </font>
    <font>
      <sz val="1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64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15" fillId="0" borderId="4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1" fontId="4" fillId="0" borderId="3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11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65" fontId="15" fillId="0" borderId="4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16" fillId="0" borderId="2" xfId="0" applyNumberFormat="1" applyFont="1" applyBorder="1" applyAlignment="1">
      <alignment horizontal="center"/>
    </xf>
    <xf numFmtId="11" fontId="4" fillId="0" borderId="0" xfId="0" applyNumberFormat="1" applyFont="1" applyAlignment="1">
      <alignment horizontal="center"/>
    </xf>
    <xf numFmtId="0" fontId="14" fillId="0" borderId="4" xfId="0" applyFont="1" applyBorder="1" applyAlignment="1">
      <alignment horizontal="center"/>
    </xf>
    <xf numFmtId="21" fontId="5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1" fontId="4" fillId="0" borderId="4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horizontal="center" vertical="center"/>
    </xf>
    <xf numFmtId="11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4" fillId="0" borderId="4" xfId="0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65" fontId="15" fillId="0" borderId="4" xfId="0" applyNumberFormat="1" applyFont="1" applyBorder="1" applyAlignment="1">
      <alignment horizontal="center" vertical="center"/>
    </xf>
    <xf numFmtId="0" fontId="5" fillId="0" borderId="0" xfId="0" applyFont="1"/>
    <xf numFmtId="0" fontId="1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" fontId="15" fillId="0" borderId="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1" fontId="4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11" fontId="4" fillId="0" borderId="6" xfId="0" applyNumberFormat="1" applyFont="1" applyBorder="1" applyAlignment="1">
      <alignment horizontal="center"/>
    </xf>
    <xf numFmtId="165" fontId="15" fillId="0" borderId="6" xfId="0" applyNumberFormat="1" applyFont="1" applyBorder="1" applyAlignment="1">
      <alignment horizontal="center" vertical="center"/>
    </xf>
    <xf numFmtId="0" fontId="17" fillId="0" borderId="0" xfId="0" applyFont="1"/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1" xfId="0" applyFont="1" applyBorder="1"/>
    <xf numFmtId="11" fontId="4" fillId="0" borderId="0" xfId="0" applyNumberFormat="1" applyFont="1"/>
    <xf numFmtId="2" fontId="4" fillId="0" borderId="0" xfId="0" applyNumberFormat="1" applyFont="1" applyAlignment="1">
      <alignment wrapText="1"/>
    </xf>
    <xf numFmtId="0" fontId="4" fillId="0" borderId="7" xfId="0" applyFont="1" applyBorder="1"/>
    <xf numFmtId="0" fontId="4" fillId="0" borderId="4" xfId="0" applyFont="1" applyBorder="1"/>
    <xf numFmtId="0" fontId="4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4" fillId="2" borderId="7" xfId="0" applyFont="1" applyFill="1" applyBorder="1"/>
    <xf numFmtId="0" fontId="4" fillId="2" borderId="4" xfId="0" applyFont="1" applyFill="1" applyBorder="1"/>
    <xf numFmtId="166" fontId="4" fillId="0" borderId="0" xfId="0" applyNumberFormat="1" applyFont="1"/>
    <xf numFmtId="0" fontId="4" fillId="2" borderId="7" xfId="0" applyFont="1" applyFill="1" applyBorder="1" applyAlignment="1">
      <alignment horizontal="left"/>
    </xf>
    <xf numFmtId="11" fontId="4" fillId="2" borderId="7" xfId="0" applyNumberFormat="1" applyFont="1" applyFill="1" applyBorder="1" applyAlignment="1">
      <alignment horizontal="right"/>
    </xf>
    <xf numFmtId="11" fontId="4" fillId="2" borderId="4" xfId="0" applyNumberFormat="1" applyFont="1" applyFill="1" applyBorder="1" applyAlignment="1">
      <alignment horizontal="right"/>
    </xf>
    <xf numFmtId="2" fontId="14" fillId="0" borderId="4" xfId="0" applyNumberFormat="1" applyFont="1" applyBorder="1" applyAlignment="1">
      <alignment horizontal="center"/>
    </xf>
    <xf numFmtId="2" fontId="15" fillId="0" borderId="5" xfId="0" applyNumberFormat="1" applyFont="1" applyBorder="1" applyAlignment="1">
      <alignment horizontal="center" wrapText="1"/>
    </xf>
    <xf numFmtId="2" fontId="15" fillId="0" borderId="5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2" fontId="14" fillId="0" borderId="6" xfId="0" applyNumberFormat="1" applyFont="1" applyBorder="1" applyAlignment="1">
      <alignment horizontal="center"/>
    </xf>
    <xf numFmtId="2" fontId="15" fillId="0" borderId="6" xfId="0" applyNumberFormat="1" applyFont="1" applyBorder="1" applyAlignment="1">
      <alignment horizontal="center" wrapText="1"/>
    </xf>
    <xf numFmtId="2" fontId="15" fillId="0" borderId="6" xfId="0" applyNumberFormat="1" applyFont="1" applyBorder="1" applyAlignment="1">
      <alignment horizontal="center"/>
    </xf>
    <xf numFmtId="11" fontId="4" fillId="0" borderId="4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11" fontId="4" fillId="0" borderId="7" xfId="0" applyNumberFormat="1" applyFont="1" applyBorder="1" applyAlignment="1">
      <alignment horizontal="right"/>
    </xf>
    <xf numFmtId="0" fontId="4" fillId="0" borderId="6" xfId="0" applyFont="1" applyBorder="1" applyAlignment="1">
      <alignment horizontal="center" vertical="center"/>
    </xf>
    <xf numFmtId="11" fontId="4" fillId="0" borderId="6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1" fontId="4" fillId="0" borderId="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1" fontId="4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 sz="2400" b="1"/>
              <a:t>It-factor (no geometry correction)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[NOx] corrected, ppbv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[1]Example!$K$13:$K$22</c:f>
              <c:numCache>
                <c:formatCode>General</c:formatCode>
                <c:ptCount val="10"/>
                <c:pt idx="0">
                  <c:v>0.12</c:v>
                </c:pt>
                <c:pt idx="1">
                  <c:v>0.16</c:v>
                </c:pt>
                <c:pt idx="2">
                  <c:v>0.2</c:v>
                </c:pt>
                <c:pt idx="3">
                  <c:v>0.24</c:v>
                </c:pt>
                <c:pt idx="4">
                  <c:v>0.28000000000000003</c:v>
                </c:pt>
                <c:pt idx="5">
                  <c:v>0.32</c:v>
                </c:pt>
                <c:pt idx="6">
                  <c:v>0.36</c:v>
                </c:pt>
                <c:pt idx="7">
                  <c:v>0.4</c:v>
                </c:pt>
                <c:pt idx="8">
                  <c:v>0.44</c:v>
                </c:pt>
                <c:pt idx="9">
                  <c:v>0.48</c:v>
                </c:pt>
              </c:numCache>
            </c:numRef>
          </c:cat>
          <c:val>
            <c:numRef>
              <c:f>[1]Example!$P$13:$P$22</c:f>
              <c:numCache>
                <c:formatCode>General</c:formatCode>
                <c:ptCount val="10"/>
                <c:pt idx="0">
                  <c:v>1.028</c:v>
                </c:pt>
                <c:pt idx="1">
                  <c:v>1.355</c:v>
                </c:pt>
                <c:pt idx="2">
                  <c:v>1.722</c:v>
                </c:pt>
                <c:pt idx="3">
                  <c:v>2.036</c:v>
                </c:pt>
                <c:pt idx="4">
                  <c:v>2.4630000000000001</c:v>
                </c:pt>
                <c:pt idx="5">
                  <c:v>2.64</c:v>
                </c:pt>
                <c:pt idx="6">
                  <c:v>2.9</c:v>
                </c:pt>
                <c:pt idx="7">
                  <c:v>3.0910000000000002</c:v>
                </c:pt>
                <c:pt idx="8">
                  <c:v>3.3380000000000001</c:v>
                </c:pt>
                <c:pt idx="9">
                  <c:v>3.331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8-41CA-A3AB-3F66A47AA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359375"/>
        <c:axId val="1224102719"/>
      </c:lineChart>
      <c:lineChart>
        <c:grouping val="stacked"/>
        <c:varyColors val="0"/>
        <c:ser>
          <c:idx val="1"/>
          <c:order val="1"/>
          <c:tx>
            <c:v>It-product, photons cm-2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[1]Example!$K$13:$K$22</c:f>
              <c:numCache>
                <c:formatCode>General</c:formatCode>
                <c:ptCount val="10"/>
                <c:pt idx="0">
                  <c:v>0.12</c:v>
                </c:pt>
                <c:pt idx="1">
                  <c:v>0.16</c:v>
                </c:pt>
                <c:pt idx="2">
                  <c:v>0.2</c:v>
                </c:pt>
                <c:pt idx="3">
                  <c:v>0.24</c:v>
                </c:pt>
                <c:pt idx="4">
                  <c:v>0.28000000000000003</c:v>
                </c:pt>
                <c:pt idx="5">
                  <c:v>0.32</c:v>
                </c:pt>
                <c:pt idx="6">
                  <c:v>0.36</c:v>
                </c:pt>
                <c:pt idx="7">
                  <c:v>0.4</c:v>
                </c:pt>
                <c:pt idx="8">
                  <c:v>0.44</c:v>
                </c:pt>
                <c:pt idx="9">
                  <c:v>0.48</c:v>
                </c:pt>
              </c:numCache>
            </c:numRef>
          </c:cat>
          <c:val>
            <c:numRef>
              <c:f>[1]Example!$R$13:$R$22</c:f>
              <c:numCache>
                <c:formatCode>General</c:formatCode>
                <c:ptCount val="10"/>
                <c:pt idx="0">
                  <c:v>88093786513.248291</c:v>
                </c:pt>
                <c:pt idx="1">
                  <c:v>89717284884.902435</c:v>
                </c:pt>
                <c:pt idx="2">
                  <c:v>84374904246.520782</c:v>
                </c:pt>
                <c:pt idx="3">
                  <c:v>84968811437.186798</c:v>
                </c:pt>
                <c:pt idx="4">
                  <c:v>90378659366.435364</c:v>
                </c:pt>
                <c:pt idx="5">
                  <c:v>84005484917.980865</c:v>
                </c:pt>
                <c:pt idx="6">
                  <c:v>84314144850.917557</c:v>
                </c:pt>
                <c:pt idx="7">
                  <c:v>81024875321.361786</c:v>
                </c:pt>
                <c:pt idx="8">
                  <c:v>81570501367.904282</c:v>
                </c:pt>
                <c:pt idx="9">
                  <c:v>75028511505.582825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F8-41CA-A3AB-3F66A47AA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458639"/>
        <c:axId val="965333391"/>
      </c:lineChart>
      <c:catAx>
        <c:axId val="129335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2000"/>
                  <a:t>N2O/N2 volume</a:t>
                </a:r>
                <a:r>
                  <a:rPr lang="fi-FI" sz="2000" baseline="0"/>
                  <a:t> mixing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224102719"/>
        <c:crosses val="autoZero"/>
        <c:auto val="1"/>
        <c:lblAlgn val="ctr"/>
        <c:lblOffset val="100"/>
        <c:noMultiLvlLbl val="0"/>
      </c:catAx>
      <c:valAx>
        <c:axId val="12241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2000"/>
                  <a:t>NOx concentration (ppbv)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293359375"/>
        <c:crosses val="autoZero"/>
        <c:crossBetween val="between"/>
      </c:valAx>
      <c:valAx>
        <c:axId val="965333391"/>
        <c:scaling>
          <c:orientation val="minMax"/>
          <c:max val="500000000000"/>
          <c:min val="10000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It-product (photons cm-2</a:t>
                </a:r>
                <a:endParaRPr lang="fi-FI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974458639"/>
        <c:crosses val="max"/>
        <c:crossBetween val="between"/>
      </c:valAx>
      <c:catAx>
        <c:axId val="974458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5333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 sz="2400" b="1"/>
              <a:t>It-factor (corrected)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[NOx] corrected, ppbv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[1]Example!$K$13:$K$22</c:f>
              <c:numCache>
                <c:formatCode>General</c:formatCode>
                <c:ptCount val="10"/>
                <c:pt idx="0">
                  <c:v>0.12</c:v>
                </c:pt>
                <c:pt idx="1">
                  <c:v>0.16</c:v>
                </c:pt>
                <c:pt idx="2">
                  <c:v>0.2</c:v>
                </c:pt>
                <c:pt idx="3">
                  <c:v>0.24</c:v>
                </c:pt>
                <c:pt idx="4">
                  <c:v>0.28000000000000003</c:v>
                </c:pt>
                <c:pt idx="5">
                  <c:v>0.32</c:v>
                </c:pt>
                <c:pt idx="6">
                  <c:v>0.36</c:v>
                </c:pt>
                <c:pt idx="7">
                  <c:v>0.4</c:v>
                </c:pt>
                <c:pt idx="8">
                  <c:v>0.44</c:v>
                </c:pt>
                <c:pt idx="9">
                  <c:v>0.48</c:v>
                </c:pt>
              </c:numCache>
            </c:numRef>
          </c:cat>
          <c:val>
            <c:numRef>
              <c:f>[1]Example!$P$13:$P$22</c:f>
              <c:numCache>
                <c:formatCode>General</c:formatCode>
                <c:ptCount val="10"/>
                <c:pt idx="0">
                  <c:v>1.028</c:v>
                </c:pt>
                <c:pt idx="1">
                  <c:v>1.355</c:v>
                </c:pt>
                <c:pt idx="2">
                  <c:v>1.722</c:v>
                </c:pt>
                <c:pt idx="3">
                  <c:v>2.036</c:v>
                </c:pt>
                <c:pt idx="4">
                  <c:v>2.4630000000000001</c:v>
                </c:pt>
                <c:pt idx="5">
                  <c:v>2.64</c:v>
                </c:pt>
                <c:pt idx="6">
                  <c:v>2.9</c:v>
                </c:pt>
                <c:pt idx="7">
                  <c:v>3.0910000000000002</c:v>
                </c:pt>
                <c:pt idx="8">
                  <c:v>3.3380000000000001</c:v>
                </c:pt>
                <c:pt idx="9">
                  <c:v>3.331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3-4FDE-B5E6-DBF4A3DEF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359375"/>
        <c:axId val="1224102719"/>
      </c:lineChart>
      <c:lineChart>
        <c:grouping val="stacked"/>
        <c:varyColors val="0"/>
        <c:ser>
          <c:idx val="1"/>
          <c:order val="1"/>
          <c:tx>
            <c:v>It-product, photons cm-2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[1]Example!$K$13:$K$22</c:f>
              <c:numCache>
                <c:formatCode>General</c:formatCode>
                <c:ptCount val="10"/>
                <c:pt idx="0">
                  <c:v>0.12</c:v>
                </c:pt>
                <c:pt idx="1">
                  <c:v>0.16</c:v>
                </c:pt>
                <c:pt idx="2">
                  <c:v>0.2</c:v>
                </c:pt>
                <c:pt idx="3">
                  <c:v>0.24</c:v>
                </c:pt>
                <c:pt idx="4">
                  <c:v>0.28000000000000003</c:v>
                </c:pt>
                <c:pt idx="5">
                  <c:v>0.32</c:v>
                </c:pt>
                <c:pt idx="6">
                  <c:v>0.36</c:v>
                </c:pt>
                <c:pt idx="7">
                  <c:v>0.4</c:v>
                </c:pt>
                <c:pt idx="8">
                  <c:v>0.44</c:v>
                </c:pt>
                <c:pt idx="9">
                  <c:v>0.48</c:v>
                </c:pt>
              </c:numCache>
            </c:numRef>
          </c:cat>
          <c:val>
            <c:numRef>
              <c:f>[1]Example!$S$13:$S$22</c:f>
              <c:numCache>
                <c:formatCode>General</c:formatCode>
                <c:ptCount val="10"/>
                <c:pt idx="0">
                  <c:v>110117233141.56036</c:v>
                </c:pt>
                <c:pt idx="1">
                  <c:v>119623046513.20325</c:v>
                </c:pt>
                <c:pt idx="2">
                  <c:v>118837893304.95885</c:v>
                </c:pt>
                <c:pt idx="3">
                  <c:v>126819121548.03999</c:v>
                </c:pt>
                <c:pt idx="4">
                  <c:v>141216655260.05524</c:v>
                </c:pt>
                <c:pt idx="5">
                  <c:v>135492717609.64655</c:v>
                </c:pt>
                <c:pt idx="6">
                  <c:v>142905330255.79248</c:v>
                </c:pt>
                <c:pt idx="7">
                  <c:v>142148904072.56458</c:v>
                </c:pt>
                <c:pt idx="8">
                  <c:v>148310002487.09866</c:v>
                </c:pt>
                <c:pt idx="9">
                  <c:v>138941687973.30154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3-4FDE-B5E6-DBF4A3DEF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458639"/>
        <c:axId val="965333391"/>
      </c:lineChart>
      <c:catAx>
        <c:axId val="129335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2000"/>
                  <a:t>N2O/N2 volume</a:t>
                </a:r>
                <a:r>
                  <a:rPr lang="fi-FI" sz="2000" baseline="0"/>
                  <a:t> mixing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224102719"/>
        <c:crosses val="autoZero"/>
        <c:auto val="1"/>
        <c:lblAlgn val="ctr"/>
        <c:lblOffset val="100"/>
        <c:noMultiLvlLbl val="0"/>
      </c:catAx>
      <c:valAx>
        <c:axId val="12241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2000"/>
                  <a:t>NOx concentration (ppbv)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293359375"/>
        <c:crosses val="autoZero"/>
        <c:crossBetween val="between"/>
      </c:valAx>
      <c:valAx>
        <c:axId val="965333391"/>
        <c:scaling>
          <c:orientation val="minMax"/>
          <c:max val="500000000000"/>
          <c:min val="10000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It-product (photons cm-2</a:t>
                </a:r>
                <a:endParaRPr lang="fi-FI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974458639"/>
        <c:crosses val="max"/>
        <c:crossBetween val="between"/>
      </c:valAx>
      <c:catAx>
        <c:axId val="974458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5333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832816</xdr:colOff>
      <xdr:row>25</xdr:row>
      <xdr:rowOff>250032</xdr:rowOff>
    </xdr:from>
    <xdr:to>
      <xdr:col>14</xdr:col>
      <xdr:colOff>1559193</xdr:colOff>
      <xdr:row>44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6D759-8AE3-476E-92A8-A2881E6F0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21432</xdr:colOff>
      <xdr:row>25</xdr:row>
      <xdr:rowOff>247650</xdr:rowOff>
    </xdr:from>
    <xdr:to>
      <xdr:col>22</xdr:col>
      <xdr:colOff>81059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255B0C-C68F-4DD8-99D7-C7264DB07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lsinkifi-my.sharepoint.com/personal/ceciliar_ad_helsinki_fi/Documents/Shared/Nina/N2O_actinometry_experiment/example_sheet.xlsx" TargetMode="External"/><Relationship Id="rId1" Type="http://schemas.openxmlformats.org/officeDocument/2006/relationships/externalLinkPath" Target="N2O_actinometry_experiment/example_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-products"/>
      <sheetName val="Adapt_It"/>
      <sheetName val="Example"/>
      <sheetName val="03.07.2026"/>
      <sheetName val="17.03.2026"/>
      <sheetName val="16.03.2026"/>
      <sheetName val="07.11.2025"/>
      <sheetName val="25.01.2025 (1)"/>
      <sheetName val="25.01.2025 (2)"/>
      <sheetName val="25.01.2025 (3)"/>
      <sheetName val="24.07.2024"/>
      <sheetName val="27.06.2024"/>
      <sheetName val="26.06.2024"/>
      <sheetName val="25.06.2024 (1)"/>
      <sheetName val="25.06.2024 (2)"/>
      <sheetName val="24.06.2024"/>
    </sheetNames>
    <sheetDataSet>
      <sheetData sheetId="0"/>
      <sheetData sheetId="1"/>
      <sheetData sheetId="2">
        <row r="13">
          <cell r="K13">
            <v>0.12</v>
          </cell>
          <cell r="P13">
            <v>1.028</v>
          </cell>
          <cell r="R13">
            <v>88093786513.248291</v>
          </cell>
          <cell r="S13">
            <v>110117233141.56036</v>
          </cell>
        </row>
        <row r="14">
          <cell r="K14">
            <v>0.16</v>
          </cell>
          <cell r="P14">
            <v>1.355</v>
          </cell>
          <cell r="R14">
            <v>89717284884.902435</v>
          </cell>
          <cell r="S14">
            <v>119623046513.20325</v>
          </cell>
        </row>
        <row r="15">
          <cell r="K15">
            <v>0.2</v>
          </cell>
          <cell r="P15">
            <v>1.722</v>
          </cell>
          <cell r="R15">
            <v>84374904246.520782</v>
          </cell>
          <cell r="S15">
            <v>118837893304.95885</v>
          </cell>
        </row>
        <row r="16">
          <cell r="K16">
            <v>0.24</v>
          </cell>
          <cell r="P16">
            <v>2.036</v>
          </cell>
          <cell r="R16">
            <v>84968811437.186798</v>
          </cell>
          <cell r="S16">
            <v>126819121548.03999</v>
          </cell>
        </row>
        <row r="17">
          <cell r="K17">
            <v>0.28000000000000003</v>
          </cell>
          <cell r="P17">
            <v>2.4630000000000001</v>
          </cell>
          <cell r="R17">
            <v>90378659366.435364</v>
          </cell>
          <cell r="S17">
            <v>141216655260.05524</v>
          </cell>
        </row>
        <row r="18">
          <cell r="K18">
            <v>0.32</v>
          </cell>
          <cell r="P18">
            <v>2.64</v>
          </cell>
          <cell r="R18">
            <v>84005484917.980865</v>
          </cell>
          <cell r="S18">
            <v>135492717609.64655</v>
          </cell>
        </row>
        <row r="19">
          <cell r="K19">
            <v>0.36</v>
          </cell>
          <cell r="P19">
            <v>2.9</v>
          </cell>
          <cell r="R19">
            <v>84314144850.917557</v>
          </cell>
          <cell r="S19">
            <v>142905330255.79248</v>
          </cell>
        </row>
        <row r="20">
          <cell r="K20">
            <v>0.4</v>
          </cell>
          <cell r="P20">
            <v>3.0910000000000002</v>
          </cell>
          <cell r="R20">
            <v>81024875321.361786</v>
          </cell>
          <cell r="S20">
            <v>142148904072.56458</v>
          </cell>
        </row>
        <row r="21">
          <cell r="K21">
            <v>0.44</v>
          </cell>
          <cell r="P21">
            <v>3.3380000000000001</v>
          </cell>
          <cell r="R21">
            <v>81570501367.904282</v>
          </cell>
          <cell r="S21">
            <v>148310002487.09866</v>
          </cell>
        </row>
        <row r="22">
          <cell r="K22">
            <v>0.48</v>
          </cell>
          <cell r="P22">
            <v>3.331</v>
          </cell>
          <cell r="R22">
            <v>75028511505.582825</v>
          </cell>
          <cell r="S22">
            <v>138941687973.30154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66"/>
  <sheetViews>
    <sheetView tabSelected="1" zoomScale="48" workbookViewId="0">
      <selection activeCell="F21" sqref="F21"/>
    </sheetView>
  </sheetViews>
  <sheetFormatPr defaultColWidth="12.42578125" defaultRowHeight="20.25" x14ac:dyDescent="0.3"/>
  <cols>
    <col min="1" max="5" width="12.42578125" style="4"/>
    <col min="6" max="6" width="13.140625" style="4" bestFit="1" customWidth="1"/>
    <col min="7" max="8" width="12.42578125" style="4"/>
    <col min="9" max="9" width="10.140625" style="2" bestFit="1" customWidth="1"/>
    <col min="10" max="16" width="23.85546875" style="2" customWidth="1"/>
    <col min="17" max="17" width="29" style="2" bestFit="1" customWidth="1"/>
    <col min="18" max="18" width="29.7109375" style="3" bestFit="1" customWidth="1"/>
    <col min="19" max="19" width="29.7109375" style="4" bestFit="1" customWidth="1"/>
    <col min="20" max="20" width="15" style="4" bestFit="1" customWidth="1"/>
    <col min="21" max="21" width="9" style="4" bestFit="1" customWidth="1"/>
    <col min="22" max="22" width="18.42578125" style="4" bestFit="1" customWidth="1"/>
    <col min="23" max="23" width="20.7109375" style="4" bestFit="1" customWidth="1"/>
    <col min="24" max="24" width="12.42578125" style="4"/>
    <col min="25" max="25" width="9" style="4" bestFit="1" customWidth="1"/>
    <col min="26" max="26" width="18.42578125" style="4" bestFit="1" customWidth="1"/>
    <col min="27" max="27" width="20.7109375" style="4" bestFit="1" customWidth="1"/>
    <col min="28" max="16384" width="12.42578125" style="4"/>
  </cols>
  <sheetData>
    <row r="2" spans="2:30" x14ac:dyDescent="0.3">
      <c r="B2" s="94" t="s">
        <v>0</v>
      </c>
      <c r="C2" s="94"/>
      <c r="D2" s="94"/>
      <c r="E2" s="94"/>
      <c r="F2" s="94"/>
      <c r="G2" s="94"/>
      <c r="H2" s="1"/>
    </row>
    <row r="3" spans="2:30" x14ac:dyDescent="0.3">
      <c r="B3" s="92" t="s">
        <v>1</v>
      </c>
      <c r="C3" s="92"/>
      <c r="D3" s="95" t="s">
        <v>2</v>
      </c>
      <c r="E3" s="95"/>
      <c r="F3" s="95"/>
      <c r="G3" s="95"/>
      <c r="H3" s="5"/>
    </row>
    <row r="4" spans="2:30" x14ac:dyDescent="0.3">
      <c r="B4" s="92" t="s">
        <v>3</v>
      </c>
      <c r="C4" s="92"/>
      <c r="D4" s="96" t="s">
        <v>4</v>
      </c>
      <c r="E4" s="96"/>
      <c r="F4" s="96"/>
      <c r="G4" s="96"/>
      <c r="H4" s="6"/>
    </row>
    <row r="5" spans="2:30" x14ac:dyDescent="0.3">
      <c r="B5" s="92" t="s">
        <v>5</v>
      </c>
      <c r="C5" s="92"/>
      <c r="D5" s="97" t="s">
        <v>6</v>
      </c>
      <c r="E5" s="97"/>
      <c r="F5" s="97"/>
      <c r="G5" s="97"/>
      <c r="H5" s="7"/>
    </row>
    <row r="6" spans="2:30" x14ac:dyDescent="0.3">
      <c r="B6" s="92" t="s">
        <v>7</v>
      </c>
      <c r="C6" s="92"/>
      <c r="D6" s="98" t="s">
        <v>8</v>
      </c>
      <c r="E6" s="98"/>
      <c r="F6" s="98"/>
      <c r="G6" s="98"/>
      <c r="H6" s="8"/>
    </row>
    <row r="10" spans="2:30" x14ac:dyDescent="0.3">
      <c r="B10" s="93" t="s">
        <v>9</v>
      </c>
      <c r="C10" s="93"/>
      <c r="D10" s="93"/>
      <c r="E10" s="93"/>
      <c r="F10" s="93"/>
      <c r="G10" s="93"/>
      <c r="H10" s="9"/>
      <c r="I10" s="93" t="s">
        <v>10</v>
      </c>
      <c r="J10" s="93"/>
      <c r="K10" s="93"/>
      <c r="L10" s="93"/>
      <c r="M10" s="93"/>
      <c r="N10" s="93"/>
      <c r="O10" s="93"/>
      <c r="P10" s="93"/>
      <c r="Q10" s="93"/>
      <c r="R10" s="93"/>
      <c r="S10" s="93"/>
      <c r="U10" s="93" t="s">
        <v>11</v>
      </c>
      <c r="V10" s="93"/>
      <c r="W10" s="93"/>
      <c r="X10" s="10"/>
      <c r="Y10" s="93" t="s">
        <v>12</v>
      </c>
      <c r="Z10" s="93"/>
      <c r="AA10" s="93"/>
      <c r="AB10" s="10"/>
      <c r="AC10" s="10"/>
      <c r="AD10" s="10"/>
    </row>
    <row r="11" spans="2:30" ht="21" thickBot="1" x14ac:dyDescent="0.35">
      <c r="H11" s="11"/>
      <c r="L11" s="12"/>
    </row>
    <row r="12" spans="2:30" ht="64.150000000000006" customHeight="1" thickBot="1" x14ac:dyDescent="0.35">
      <c r="B12" s="89" t="s">
        <v>13</v>
      </c>
      <c r="C12" s="89"/>
      <c r="D12" s="89"/>
      <c r="E12" s="89" t="s">
        <v>14</v>
      </c>
      <c r="F12" s="89"/>
      <c r="G12" s="89"/>
      <c r="H12" s="13"/>
      <c r="I12" s="14" t="s">
        <v>15</v>
      </c>
      <c r="J12" s="14" t="s">
        <v>16</v>
      </c>
      <c r="K12" s="14" t="s">
        <v>17</v>
      </c>
      <c r="L12" s="15" t="s">
        <v>18</v>
      </c>
      <c r="M12" s="15" t="s">
        <v>19</v>
      </c>
      <c r="N12" s="14" t="s">
        <v>20</v>
      </c>
      <c r="O12" s="14" t="s">
        <v>21</v>
      </c>
      <c r="P12" s="14" t="s">
        <v>22</v>
      </c>
      <c r="Q12" s="14" t="s">
        <v>23</v>
      </c>
      <c r="R12" s="14" t="s">
        <v>24</v>
      </c>
      <c r="S12" s="14" t="s">
        <v>25</v>
      </c>
      <c r="U12" s="14" t="s">
        <v>15</v>
      </c>
      <c r="V12" s="14" t="s">
        <v>16</v>
      </c>
      <c r="W12" s="14" t="s">
        <v>22</v>
      </c>
      <c r="Y12" s="14" t="s">
        <v>15</v>
      </c>
      <c r="Z12" s="14" t="s">
        <v>16</v>
      </c>
      <c r="AA12" s="14" t="s">
        <v>22</v>
      </c>
    </row>
    <row r="13" spans="2:30" ht="24" thickBot="1" x14ac:dyDescent="0.35">
      <c r="B13" s="90" t="s">
        <v>26</v>
      </c>
      <c r="C13" s="90"/>
      <c r="D13" s="90"/>
      <c r="E13" s="91">
        <v>1.43E-19</v>
      </c>
      <c r="F13" s="91"/>
      <c r="G13" s="91"/>
      <c r="H13" s="11"/>
      <c r="I13" s="16">
        <v>1</v>
      </c>
      <c r="J13" s="17" t="s">
        <v>27</v>
      </c>
      <c r="K13" s="18">
        <v>0.12</v>
      </c>
      <c r="L13" s="19">
        <f t="shared" ref="L13:L22" si="0">K13*M13</f>
        <v>803.57142857142844</v>
      </c>
      <c r="M13" s="20">
        <f>7500/(1+K13)</f>
        <v>6696.4285714285706</v>
      </c>
      <c r="N13" s="21">
        <f t="shared" ref="N13:N22" si="1">(L13/(L13+M13))*(1000000000)</f>
        <v>107142857.14285713</v>
      </c>
      <c r="O13" s="21">
        <f>(M13/(M13+L13))*(1000000000)</f>
        <v>892857142.85714293</v>
      </c>
      <c r="P13" s="22">
        <v>1.028</v>
      </c>
      <c r="Q13" s="23">
        <f>P13-W13-$AA$13</f>
        <v>0.53600000000000003</v>
      </c>
      <c r="R13" s="24">
        <f>((($E$15*O13)+(($E$16+$E$17+$E$18)*N13))/(2*$E$16*$E$13*$E$14*((N13)^2)))*Q13</f>
        <v>88093786513.248291</v>
      </c>
      <c r="S13" s="21">
        <f>((($E$15*O13)+(($E$16+$E$17+$E$18)*N13))/(2*$E$16*$E$13*$E$14*((N13)^2)))*(Q13/E28)</f>
        <v>110117233141.56036</v>
      </c>
      <c r="U13" s="16">
        <v>1</v>
      </c>
      <c r="V13" s="25" t="s">
        <v>28</v>
      </c>
      <c r="W13" s="26">
        <v>0.113</v>
      </c>
      <c r="Y13" s="27">
        <v>1</v>
      </c>
      <c r="Z13" s="28" t="s">
        <v>29</v>
      </c>
      <c r="AA13" s="29">
        <v>0.379</v>
      </c>
    </row>
    <row r="14" spans="2:30" ht="23.25" x14ac:dyDescent="0.3">
      <c r="B14" s="87" t="s">
        <v>30</v>
      </c>
      <c r="C14" s="87"/>
      <c r="D14" s="87"/>
      <c r="E14" s="88">
        <v>1</v>
      </c>
      <c r="F14" s="88"/>
      <c r="G14" s="88"/>
      <c r="H14" s="30"/>
      <c r="I14" s="31">
        <v>2</v>
      </c>
      <c r="J14" s="32" t="s">
        <v>31</v>
      </c>
      <c r="K14" s="18">
        <v>0.16</v>
      </c>
      <c r="L14" s="19">
        <f>K14*M14</f>
        <v>1034.4827586206898</v>
      </c>
      <c r="M14" s="33">
        <f>7500/(1+K14)</f>
        <v>6465.5172413793107</v>
      </c>
      <c r="N14" s="34">
        <f t="shared" si="1"/>
        <v>137931034.48275864</v>
      </c>
      <c r="O14" s="34">
        <f>(M14/(M14+L14))*(1000000000)</f>
        <v>862068965.51724148</v>
      </c>
      <c r="P14" s="35">
        <v>1.355</v>
      </c>
      <c r="Q14" s="36">
        <f>P14-W14-$AA$13</f>
        <v>0.84499999999999997</v>
      </c>
      <c r="R14" s="37">
        <f>((($E$15*O14)+(($E$16+$E$17+$E$18)*N14))/(2*$E$16*$E$13*$E$14*((N14)^2)))*Q14</f>
        <v>89717284884.902435</v>
      </c>
      <c r="S14" s="34">
        <f>((($E$15*O14)+(($E$16+$E$17+$E$18)*N14))/(2*$E$16*$E$13*$E$14*((N14)^2)))*(Q14/E29)</f>
        <v>119623046513.20325</v>
      </c>
      <c r="U14" s="31">
        <v>2</v>
      </c>
      <c r="V14" s="17" t="s">
        <v>32</v>
      </c>
      <c r="W14" s="26">
        <v>0.13100000000000001</v>
      </c>
    </row>
    <row r="15" spans="2:30" ht="23.25" x14ac:dyDescent="0.3">
      <c r="B15" s="87" t="s">
        <v>33</v>
      </c>
      <c r="C15" s="87"/>
      <c r="D15" s="87"/>
      <c r="E15" s="88">
        <f>(0.00000000002)*EXP(130/C20)</f>
        <v>3.093086058866653E-11</v>
      </c>
      <c r="F15" s="88"/>
      <c r="G15" s="88"/>
      <c r="H15" s="30"/>
      <c r="I15" s="31">
        <v>3</v>
      </c>
      <c r="J15" s="17" t="s">
        <v>34</v>
      </c>
      <c r="K15" s="18">
        <v>0.2</v>
      </c>
      <c r="L15" s="19">
        <f t="shared" si="0"/>
        <v>1250</v>
      </c>
      <c r="M15" s="33">
        <f t="shared" ref="M15:M21" si="2">7500/(1+K15)</f>
        <v>6250</v>
      </c>
      <c r="N15" s="34">
        <f t="shared" si="1"/>
        <v>166666666.66666666</v>
      </c>
      <c r="O15" s="34">
        <f>(M15/(M15+L15))*(1000000000)</f>
        <v>833333333.33333337</v>
      </c>
      <c r="P15" s="35">
        <v>1.722</v>
      </c>
      <c r="Q15" s="36">
        <f t="shared" ref="Q15:Q21" si="3">P15-W15-$AA$13</f>
        <v>1.093</v>
      </c>
      <c r="R15" s="37">
        <f>((($E$15*O15)+(($E$16+$E$17+$E$18)*N15))/(2*$E$16*$E$13*$E$14*((N15)^2)))*Q15</f>
        <v>84374904246.520782</v>
      </c>
      <c r="S15" s="34">
        <f t="shared" ref="S15:S21" si="4">((($E$15*O15)+(($E$16+$E$17+$E$18)*N15))/(2*$E$16*$E$13*$E$14*((N15)^2)))*(Q15/E30)</f>
        <v>118837893304.95885</v>
      </c>
      <c r="U15" s="31">
        <v>3</v>
      </c>
      <c r="V15" s="17" t="s">
        <v>35</v>
      </c>
      <c r="W15" s="26">
        <v>0.25</v>
      </c>
    </row>
    <row r="16" spans="2:30" ht="23.25" x14ac:dyDescent="0.3">
      <c r="B16" s="87" t="s">
        <v>36</v>
      </c>
      <c r="C16" s="87"/>
      <c r="D16" s="87"/>
      <c r="E16" s="88">
        <v>7.5999999999999996E-11</v>
      </c>
      <c r="F16" s="88"/>
      <c r="G16" s="88"/>
      <c r="H16" s="11"/>
      <c r="I16" s="31">
        <v>4</v>
      </c>
      <c r="J16" s="17" t="s">
        <v>37</v>
      </c>
      <c r="K16" s="18">
        <v>0.24</v>
      </c>
      <c r="L16" s="19">
        <f t="shared" si="0"/>
        <v>1451.6129032258063</v>
      </c>
      <c r="M16" s="33">
        <f t="shared" si="2"/>
        <v>6048.3870967741932</v>
      </c>
      <c r="N16" s="34">
        <f t="shared" si="1"/>
        <v>193548387.09677419</v>
      </c>
      <c r="O16" s="34">
        <f t="shared" ref="O16:O21" si="5">(M16/(M16+L16))*(1000000000)</f>
        <v>806451612.90322578</v>
      </c>
      <c r="P16" s="35">
        <v>2.036</v>
      </c>
      <c r="Q16" s="36">
        <f t="shared" si="3"/>
        <v>1.4079999999999999</v>
      </c>
      <c r="R16" s="37">
        <f t="shared" ref="R16:R21" si="6">((($E$15*O16)+(($E$16+$E$17+$E$18)*N16))/(2*$E$16*$E$13*$E$14*((N16)^2)))*Q16</f>
        <v>84968811437.186798</v>
      </c>
      <c r="S16" s="34">
        <f t="shared" si="4"/>
        <v>126819121548.03999</v>
      </c>
      <c r="U16" s="31">
        <v>4</v>
      </c>
      <c r="V16" s="17" t="s">
        <v>38</v>
      </c>
      <c r="W16" s="26">
        <v>0.249</v>
      </c>
    </row>
    <row r="17" spans="2:29" ht="23.25" x14ac:dyDescent="0.3">
      <c r="B17" s="87" t="s">
        <v>39</v>
      </c>
      <c r="C17" s="87"/>
      <c r="D17" s="87"/>
      <c r="E17" s="88">
        <v>4.3E-11</v>
      </c>
      <c r="F17" s="88"/>
      <c r="G17" s="88"/>
      <c r="H17" s="11"/>
      <c r="I17" s="31">
        <v>5</v>
      </c>
      <c r="J17" s="17" t="s">
        <v>40</v>
      </c>
      <c r="K17" s="18">
        <v>0.28000000000000003</v>
      </c>
      <c r="L17" s="33">
        <f t="shared" si="0"/>
        <v>1640.6250000000002</v>
      </c>
      <c r="M17" s="33">
        <f t="shared" si="2"/>
        <v>5859.375</v>
      </c>
      <c r="N17" s="34">
        <f t="shared" si="1"/>
        <v>218750000.00000003</v>
      </c>
      <c r="O17" s="34">
        <f t="shared" si="5"/>
        <v>781250000</v>
      </c>
      <c r="P17" s="35">
        <v>2.4630000000000001</v>
      </c>
      <c r="Q17" s="36">
        <f t="shared" si="3"/>
        <v>1.8250000000000002</v>
      </c>
      <c r="R17" s="37">
        <f t="shared" si="6"/>
        <v>90378659366.435364</v>
      </c>
      <c r="S17" s="34">
        <f>((($E$15*O17)+(($E$16+$E$17+$E$18)*N17))/(2*$E$16*$E$13*$E$14*((N17)^2)))*(Q17/E32)</f>
        <v>141216655260.05524</v>
      </c>
      <c r="U17" s="31">
        <v>5</v>
      </c>
      <c r="V17" s="17" t="s">
        <v>41</v>
      </c>
      <c r="W17" s="26">
        <v>0.25900000000000001</v>
      </c>
    </row>
    <row r="18" spans="2:29" ht="24" thickBot="1" x14ac:dyDescent="0.35">
      <c r="B18" s="83" t="s">
        <v>42</v>
      </c>
      <c r="C18" s="83"/>
      <c r="D18" s="83"/>
      <c r="E18" s="84">
        <v>6.0000000000000003E-12</v>
      </c>
      <c r="F18" s="84"/>
      <c r="G18" s="84"/>
      <c r="H18" s="11"/>
      <c r="I18" s="31">
        <v>6</v>
      </c>
      <c r="J18" s="17" t="s">
        <v>43</v>
      </c>
      <c r="K18" s="18">
        <v>0.32</v>
      </c>
      <c r="L18" s="33">
        <f t="shared" si="0"/>
        <v>1818.1818181818182</v>
      </c>
      <c r="M18" s="33">
        <f t="shared" si="2"/>
        <v>5681.818181818182</v>
      </c>
      <c r="N18" s="34">
        <f t="shared" si="1"/>
        <v>242424242.42424244</v>
      </c>
      <c r="O18" s="34">
        <f t="shared" si="5"/>
        <v>757575757.57575762</v>
      </c>
      <c r="P18" s="35">
        <v>2.64</v>
      </c>
      <c r="Q18" s="36">
        <f t="shared" si="3"/>
        <v>1.9970000000000003</v>
      </c>
      <c r="R18" s="37">
        <f>((($E$15*O18)+(($E$16+$E$17+$E$18)*N18))/(2*$E$16*$E$13*$E$14*((N18)^2)))*Q18</f>
        <v>84005484917.980865</v>
      </c>
      <c r="S18" s="34">
        <f t="shared" si="4"/>
        <v>135492717609.64655</v>
      </c>
      <c r="U18" s="31">
        <v>6</v>
      </c>
      <c r="V18" s="17" t="s">
        <v>44</v>
      </c>
      <c r="W18" s="26">
        <v>0.26400000000000001</v>
      </c>
    </row>
    <row r="19" spans="2:29" x14ac:dyDescent="0.3">
      <c r="B19" s="38"/>
      <c r="C19" s="38"/>
      <c r="D19" s="38"/>
      <c r="E19" s="30"/>
      <c r="H19" s="11"/>
      <c r="I19" s="31">
        <v>7</v>
      </c>
      <c r="J19" s="17" t="s">
        <v>45</v>
      </c>
      <c r="K19" s="18">
        <v>0.36</v>
      </c>
      <c r="L19" s="33">
        <f t="shared" si="0"/>
        <v>1985.2941176470588</v>
      </c>
      <c r="M19" s="33">
        <f t="shared" si="2"/>
        <v>5514.7058823529414</v>
      </c>
      <c r="N19" s="34">
        <f t="shared" si="1"/>
        <v>264705882.35294119</v>
      </c>
      <c r="O19" s="34">
        <f t="shared" si="5"/>
        <v>735294117.64705884</v>
      </c>
      <c r="P19" s="35">
        <v>2.9</v>
      </c>
      <c r="Q19" s="36">
        <f t="shared" si="3"/>
        <v>2.2999999999999998</v>
      </c>
      <c r="R19" s="37">
        <f t="shared" si="6"/>
        <v>84314144850.917557</v>
      </c>
      <c r="S19" s="34">
        <f>((($E$15*O19)+(($E$16+$E$17+$E$18)*N19))/(2*$E$16*$E$13*$E$14*((N19)^2)))*(Q19/E34)</f>
        <v>142905330255.79248</v>
      </c>
      <c r="U19" s="31">
        <v>7</v>
      </c>
      <c r="V19" s="17" t="s">
        <v>46</v>
      </c>
      <c r="W19" s="26">
        <v>0.221</v>
      </c>
    </row>
    <row r="20" spans="2:29" x14ac:dyDescent="0.3">
      <c r="B20" s="11" t="s">
        <v>47</v>
      </c>
      <c r="C20" s="39">
        <v>298.14999999999998</v>
      </c>
      <c r="D20" s="38"/>
      <c r="E20" s="30"/>
      <c r="H20" s="11"/>
      <c r="I20" s="31">
        <v>8</v>
      </c>
      <c r="J20" s="17" t="s">
        <v>48</v>
      </c>
      <c r="K20" s="18">
        <v>0.4</v>
      </c>
      <c r="L20" s="33">
        <f>K20*M20</f>
        <v>2142.8571428571431</v>
      </c>
      <c r="M20" s="33">
        <f t="shared" si="2"/>
        <v>5357.1428571428578</v>
      </c>
      <c r="N20" s="34">
        <f t="shared" si="1"/>
        <v>285714285.71428567</v>
      </c>
      <c r="O20" s="34">
        <f t="shared" si="5"/>
        <v>714285714.28571427</v>
      </c>
      <c r="P20" s="35">
        <v>3.0910000000000002</v>
      </c>
      <c r="Q20" s="36">
        <f t="shared" si="3"/>
        <v>2.4870000000000001</v>
      </c>
      <c r="R20" s="37">
        <f t="shared" si="6"/>
        <v>81024875321.361786</v>
      </c>
      <c r="S20" s="34">
        <f t="shared" si="4"/>
        <v>142148904072.56458</v>
      </c>
      <c r="U20" s="31">
        <v>8</v>
      </c>
      <c r="V20" s="17" t="s">
        <v>49</v>
      </c>
      <c r="W20" s="26">
        <v>0.22500000000000001</v>
      </c>
    </row>
    <row r="21" spans="2:29" x14ac:dyDescent="0.3">
      <c r="I21" s="40">
        <v>9</v>
      </c>
      <c r="J21" s="17" t="s">
        <v>50</v>
      </c>
      <c r="K21" s="41">
        <v>0.44</v>
      </c>
      <c r="L21" s="42">
        <f t="shared" si="0"/>
        <v>2291.666666666667</v>
      </c>
      <c r="M21" s="33">
        <f t="shared" si="2"/>
        <v>5208.3333333333339</v>
      </c>
      <c r="N21" s="37">
        <f t="shared" si="1"/>
        <v>305555555.55555558</v>
      </c>
      <c r="O21" s="34">
        <f t="shared" si="5"/>
        <v>694444444.44444442</v>
      </c>
      <c r="P21" s="35">
        <v>3.3380000000000001</v>
      </c>
      <c r="Q21" s="36">
        <f t="shared" si="3"/>
        <v>2.774</v>
      </c>
      <c r="R21" s="37">
        <f t="shared" si="6"/>
        <v>81570501367.904282</v>
      </c>
      <c r="S21" s="34">
        <f t="shared" si="4"/>
        <v>148310002487.09866</v>
      </c>
      <c r="U21" s="40">
        <v>9</v>
      </c>
      <c r="V21" s="17" t="s">
        <v>51</v>
      </c>
      <c r="W21" s="43">
        <v>0.185</v>
      </c>
    </row>
    <row r="22" spans="2:29" ht="21" thickBot="1" x14ac:dyDescent="0.35">
      <c r="H22" s="44"/>
      <c r="I22" s="45">
        <v>10</v>
      </c>
      <c r="J22" s="46" t="s">
        <v>52</v>
      </c>
      <c r="K22" s="47">
        <v>0.48</v>
      </c>
      <c r="L22" s="48">
        <f t="shared" si="0"/>
        <v>2432.4324324324325</v>
      </c>
      <c r="M22" s="48">
        <f>7500/(1+K22)</f>
        <v>5067.5675675675675</v>
      </c>
      <c r="N22" s="49">
        <f t="shared" si="1"/>
        <v>324324324.32432437</v>
      </c>
      <c r="O22" s="49">
        <f>(M22/(M22+L22))*(1000000000)</f>
        <v>675675675.67567563</v>
      </c>
      <c r="P22" s="50">
        <v>3.331</v>
      </c>
      <c r="Q22" s="51">
        <f>P22-W22-$AA$13</f>
        <v>2.7919999999999998</v>
      </c>
      <c r="R22" s="49">
        <f>((($E$15*O22)+(($E$16+$E$17+$E$18)*N22))/(2*$E$16*$E$13*$E$14*((N22)^2)))*Q22</f>
        <v>75028511505.582825</v>
      </c>
      <c r="S22" s="52">
        <f>((($E$15*O22)+(($E$16+$E$17+$E$18)*N22))/(2*$E$16*$E$13*$E$14*((N22)^2)))*(Q22/E37)</f>
        <v>138941687973.30154</v>
      </c>
      <c r="U22" s="45">
        <v>10</v>
      </c>
      <c r="V22" s="46" t="s">
        <v>53</v>
      </c>
      <c r="W22" s="53">
        <v>0.16</v>
      </c>
      <c r="Y22" s="54"/>
    </row>
    <row r="23" spans="2:29" x14ac:dyDescent="0.3">
      <c r="I23" s="39"/>
      <c r="J23" s="39"/>
      <c r="K23" s="55"/>
      <c r="L23" s="56"/>
      <c r="M23" s="56"/>
      <c r="N23" s="30"/>
      <c r="O23" s="30"/>
      <c r="P23" s="57"/>
      <c r="Q23" s="57"/>
      <c r="R23" s="58"/>
    </row>
    <row r="24" spans="2:29" ht="20.25" customHeight="1" x14ac:dyDescent="0.3">
      <c r="I24" s="39"/>
      <c r="J24" s="39"/>
      <c r="K24" s="55"/>
      <c r="L24" s="56"/>
      <c r="M24" s="56"/>
      <c r="N24" s="30"/>
      <c r="P24" s="59"/>
      <c r="Q24" s="59"/>
      <c r="R24" s="59"/>
      <c r="S24" s="59"/>
    </row>
    <row r="25" spans="2:29" x14ac:dyDescent="0.3">
      <c r="B25" s="76" t="s">
        <v>54</v>
      </c>
      <c r="C25" s="76"/>
      <c r="D25" s="76"/>
      <c r="E25" s="76"/>
      <c r="F25" s="76"/>
      <c r="G25" s="2"/>
      <c r="I25" s="39"/>
      <c r="J25" s="39"/>
      <c r="K25" s="55"/>
      <c r="L25" s="56"/>
      <c r="M25" s="56"/>
      <c r="N25" s="30"/>
      <c r="P25" s="59"/>
      <c r="Q25" s="59"/>
      <c r="R25" s="59"/>
      <c r="S25" s="59"/>
    </row>
    <row r="26" spans="2:29" ht="21" thickBot="1" x14ac:dyDescent="0.35">
      <c r="C26" s="60"/>
      <c r="D26" s="60"/>
      <c r="I26" s="39"/>
      <c r="J26" s="39"/>
      <c r="K26" s="55"/>
      <c r="L26" s="56"/>
      <c r="M26" s="56"/>
      <c r="N26" s="30"/>
      <c r="P26" s="59"/>
      <c r="Q26" s="59"/>
      <c r="R26" s="59"/>
      <c r="S26" s="59"/>
      <c r="T26" s="61"/>
    </row>
    <row r="27" spans="2:29" ht="64.5" customHeight="1" thickBot="1" x14ac:dyDescent="0.35">
      <c r="B27" s="14" t="s">
        <v>15</v>
      </c>
      <c r="C27" s="85" t="s">
        <v>55</v>
      </c>
      <c r="D27" s="85"/>
      <c r="E27" s="85" t="s">
        <v>56</v>
      </c>
      <c r="F27" s="85"/>
      <c r="I27" s="39"/>
      <c r="J27" s="39"/>
      <c r="K27" s="55"/>
      <c r="L27" s="56"/>
      <c r="M27" s="56"/>
      <c r="N27" s="30"/>
      <c r="O27" s="30"/>
      <c r="P27" s="57"/>
      <c r="Q27" s="57"/>
      <c r="R27" s="58"/>
    </row>
    <row r="28" spans="2:29" x14ac:dyDescent="0.3">
      <c r="B28" s="16">
        <v>1</v>
      </c>
      <c r="C28" s="86">
        <f>K13</f>
        <v>0.12</v>
      </c>
      <c r="D28" s="86"/>
      <c r="E28" s="74">
        <v>0.8</v>
      </c>
      <c r="F28" s="75"/>
      <c r="I28" s="39"/>
      <c r="J28" s="62"/>
      <c r="K28" s="62"/>
      <c r="L28" s="56"/>
      <c r="M28" s="56"/>
      <c r="N28" s="30"/>
      <c r="O28" s="30"/>
      <c r="P28" s="57"/>
      <c r="Q28" s="57"/>
      <c r="R28" s="58"/>
      <c r="Y28" s="76" t="s">
        <v>57</v>
      </c>
      <c r="Z28" s="76"/>
      <c r="AA28" s="76"/>
      <c r="AB28" s="76"/>
      <c r="AC28" s="76"/>
    </row>
    <row r="29" spans="2:29" x14ac:dyDescent="0.3">
      <c r="B29" s="31">
        <v>2</v>
      </c>
      <c r="C29" s="73">
        <f>K14</f>
        <v>0.16</v>
      </c>
      <c r="D29" s="73"/>
      <c r="E29" s="74">
        <v>0.75</v>
      </c>
      <c r="F29" s="75"/>
      <c r="I29" s="39"/>
      <c r="J29" s="62"/>
      <c r="K29" s="62"/>
      <c r="L29" s="56"/>
      <c r="M29" s="56"/>
      <c r="N29" s="30"/>
      <c r="O29" s="30"/>
      <c r="P29" s="57"/>
      <c r="Q29" s="57"/>
      <c r="R29" s="58"/>
    </row>
    <row r="30" spans="2:29" x14ac:dyDescent="0.3">
      <c r="B30" s="31">
        <v>3</v>
      </c>
      <c r="C30" s="73">
        <f t="shared" ref="C30:C37" si="7">K15</f>
        <v>0.2</v>
      </c>
      <c r="D30" s="73"/>
      <c r="E30" s="74">
        <v>0.71</v>
      </c>
      <c r="F30" s="75"/>
      <c r="I30" s="39"/>
      <c r="J30" s="62"/>
      <c r="K30" s="62"/>
      <c r="L30" s="56"/>
      <c r="M30" s="56"/>
      <c r="N30" s="30"/>
      <c r="O30" s="30"/>
      <c r="P30" s="57"/>
      <c r="Q30" s="57"/>
      <c r="R30" s="58"/>
      <c r="Y30" s="81" t="s">
        <v>58</v>
      </c>
      <c r="Z30" s="81"/>
      <c r="AA30" s="81"/>
      <c r="AB30" s="82">
        <f>AVERAGE(R13:R22)</f>
        <v>84347696441.204102</v>
      </c>
      <c r="AC30" s="82"/>
    </row>
    <row r="31" spans="2:29" x14ac:dyDescent="0.3">
      <c r="B31" s="31">
        <v>4</v>
      </c>
      <c r="C31" s="73">
        <f t="shared" si="7"/>
        <v>0.24</v>
      </c>
      <c r="D31" s="73"/>
      <c r="E31" s="74">
        <v>0.67</v>
      </c>
      <c r="F31" s="75"/>
      <c r="I31" s="39"/>
      <c r="J31" s="62"/>
      <c r="K31" s="62"/>
      <c r="L31" s="56"/>
      <c r="M31" s="56"/>
      <c r="N31" s="30"/>
      <c r="O31" s="30"/>
      <c r="P31" s="57"/>
      <c r="Q31" s="57"/>
      <c r="R31" s="58"/>
      <c r="Y31" s="81" t="s">
        <v>59</v>
      </c>
      <c r="Z31" s="81"/>
      <c r="AA31" s="81"/>
      <c r="AB31" s="82">
        <f>MEDIAN(R13:R22)</f>
        <v>84344524548.719177</v>
      </c>
      <c r="AC31" s="82"/>
    </row>
    <row r="32" spans="2:29" x14ac:dyDescent="0.3">
      <c r="B32" s="31">
        <v>5</v>
      </c>
      <c r="C32" s="73">
        <f t="shared" si="7"/>
        <v>0.28000000000000003</v>
      </c>
      <c r="D32" s="73"/>
      <c r="E32" s="74">
        <v>0.64</v>
      </c>
      <c r="F32" s="75"/>
      <c r="I32" s="39"/>
      <c r="J32" s="62"/>
      <c r="K32" s="62"/>
      <c r="L32" s="56"/>
      <c r="M32" s="56"/>
      <c r="N32" s="30"/>
      <c r="O32" s="30"/>
      <c r="P32" s="57"/>
      <c r="Q32" s="57"/>
      <c r="R32" s="58"/>
      <c r="Y32" s="63" t="s">
        <v>60</v>
      </c>
      <c r="Z32" s="63"/>
      <c r="AA32" s="63"/>
      <c r="AB32" s="82">
        <f>AVERAGE(S13:S22)</f>
        <v>132441259216.62215</v>
      </c>
      <c r="AC32" s="82"/>
    </row>
    <row r="33" spans="1:29" x14ac:dyDescent="0.3">
      <c r="B33" s="31">
        <v>6</v>
      </c>
      <c r="C33" s="73">
        <f t="shared" si="7"/>
        <v>0.32</v>
      </c>
      <c r="D33" s="73"/>
      <c r="E33" s="74">
        <v>0.62</v>
      </c>
      <c r="F33" s="75"/>
      <c r="I33" s="39"/>
      <c r="J33" s="62"/>
      <c r="K33" s="62"/>
      <c r="L33" s="56"/>
      <c r="M33" s="56"/>
      <c r="N33" s="30"/>
      <c r="O33" s="30"/>
      <c r="P33" s="57"/>
      <c r="Q33" s="57"/>
      <c r="R33" s="58"/>
      <c r="Y33" s="64" t="s">
        <v>61</v>
      </c>
      <c r="Z33" s="64"/>
      <c r="AA33" s="64"/>
      <c r="AB33" s="80">
        <f>MEDIAN(S13:S22)</f>
        <v>137217202791.47404</v>
      </c>
      <c r="AC33" s="80"/>
    </row>
    <row r="34" spans="1:29" x14ac:dyDescent="0.3">
      <c r="B34" s="31">
        <v>7</v>
      </c>
      <c r="C34" s="73">
        <f t="shared" si="7"/>
        <v>0.36</v>
      </c>
      <c r="D34" s="73"/>
      <c r="E34" s="74">
        <v>0.59</v>
      </c>
      <c r="F34" s="75"/>
      <c r="I34" s="39"/>
      <c r="J34" s="62"/>
      <c r="K34" s="62"/>
      <c r="L34" s="56"/>
      <c r="M34" s="56"/>
      <c r="N34" s="30"/>
      <c r="O34" s="30"/>
      <c r="P34" s="57"/>
      <c r="Q34" s="57"/>
      <c r="R34" s="58"/>
    </row>
    <row r="35" spans="1:29" x14ac:dyDescent="0.3">
      <c r="B35" s="31">
        <v>8</v>
      </c>
      <c r="C35" s="73">
        <f t="shared" si="7"/>
        <v>0.4</v>
      </c>
      <c r="D35" s="73"/>
      <c r="E35" s="74">
        <v>0.56999999999999995</v>
      </c>
      <c r="F35" s="75"/>
      <c r="I35" s="39"/>
      <c r="J35" s="62"/>
      <c r="K35" s="62"/>
      <c r="L35" s="56"/>
      <c r="M35" s="56"/>
      <c r="N35" s="30"/>
      <c r="O35" s="30"/>
      <c r="P35" s="57"/>
      <c r="Q35" s="57"/>
      <c r="R35" s="58"/>
    </row>
    <row r="36" spans="1:29" x14ac:dyDescent="0.3">
      <c r="B36" s="40">
        <v>9</v>
      </c>
      <c r="C36" s="73">
        <f t="shared" si="7"/>
        <v>0.44</v>
      </c>
      <c r="D36" s="73"/>
      <c r="E36" s="74">
        <v>0.55000000000000004</v>
      </c>
      <c r="F36" s="75"/>
      <c r="I36" s="39"/>
      <c r="J36" s="62"/>
      <c r="K36" s="62"/>
      <c r="L36" s="56"/>
      <c r="M36" s="56"/>
      <c r="N36" s="30"/>
      <c r="O36" s="30"/>
      <c r="P36" s="57"/>
      <c r="Q36" s="57"/>
      <c r="R36" s="58"/>
      <c r="Y36" s="76" t="s">
        <v>62</v>
      </c>
      <c r="Z36" s="76"/>
      <c r="AA36" s="76"/>
      <c r="AB36" s="76"/>
      <c r="AC36" s="76"/>
    </row>
    <row r="37" spans="1:29" ht="21" thickBot="1" x14ac:dyDescent="0.35">
      <c r="B37" s="65">
        <v>10</v>
      </c>
      <c r="C37" s="77">
        <f t="shared" si="7"/>
        <v>0.48</v>
      </c>
      <c r="D37" s="77"/>
      <c r="E37" s="78">
        <v>0.54</v>
      </c>
      <c r="F37" s="79"/>
      <c r="I37" s="39"/>
      <c r="J37" s="62"/>
      <c r="K37" s="62"/>
      <c r="L37" s="56"/>
      <c r="M37" s="56"/>
      <c r="N37" s="30"/>
      <c r="O37" s="30"/>
      <c r="P37" s="57"/>
      <c r="Q37" s="57"/>
      <c r="R37" s="58"/>
    </row>
    <row r="38" spans="1:29" x14ac:dyDescent="0.3">
      <c r="I38" s="39"/>
      <c r="K38" s="4"/>
      <c r="L38" s="56"/>
      <c r="M38" s="56"/>
      <c r="N38" s="30"/>
      <c r="O38" s="30"/>
      <c r="P38" s="57"/>
      <c r="Q38" s="57"/>
      <c r="R38" s="58"/>
      <c r="Y38" s="70" t="s">
        <v>58</v>
      </c>
      <c r="Z38" s="70"/>
      <c r="AA38" s="70"/>
      <c r="AB38" s="71">
        <f>AB30*(7.5/10)</f>
        <v>63260772330.903076</v>
      </c>
      <c r="AC38" s="71"/>
    </row>
    <row r="39" spans="1:29" x14ac:dyDescent="0.3">
      <c r="B39" s="38"/>
      <c r="C39" s="66"/>
      <c r="I39" s="39"/>
      <c r="K39" s="4"/>
      <c r="L39" s="56"/>
      <c r="M39" s="56"/>
      <c r="N39" s="30"/>
      <c r="O39" s="30"/>
      <c r="P39" s="57"/>
      <c r="Q39" s="57"/>
      <c r="R39" s="58"/>
      <c r="Y39" s="70" t="s">
        <v>59</v>
      </c>
      <c r="Z39" s="70"/>
      <c r="AA39" s="70"/>
      <c r="AB39" s="71">
        <f>AB31*(7.5/10)</f>
        <v>63258393411.539383</v>
      </c>
      <c r="AC39" s="71"/>
    </row>
    <row r="40" spans="1:29" x14ac:dyDescent="0.3">
      <c r="I40" s="39"/>
      <c r="K40" s="4"/>
      <c r="L40" s="56"/>
      <c r="M40" s="56"/>
      <c r="N40" s="30"/>
      <c r="O40" s="30"/>
      <c r="P40" s="57"/>
      <c r="Q40" s="57"/>
      <c r="R40" s="58"/>
      <c r="Y40" s="67" t="s">
        <v>60</v>
      </c>
      <c r="Z40" s="67"/>
      <c r="AA40" s="67"/>
      <c r="AB40" s="71">
        <f>AB32*(7.5/10)</f>
        <v>99330944412.466614</v>
      </c>
      <c r="AC40" s="71"/>
    </row>
    <row r="41" spans="1:29" x14ac:dyDescent="0.3">
      <c r="B41" s="2"/>
      <c r="C41" s="2"/>
      <c r="D41" s="2"/>
      <c r="E41" s="2"/>
      <c r="F41" s="2"/>
      <c r="I41" s="39"/>
      <c r="J41" s="4"/>
      <c r="K41" s="4"/>
      <c r="L41" s="56"/>
      <c r="M41" s="56"/>
      <c r="N41" s="30"/>
      <c r="O41" s="30"/>
      <c r="P41" s="57"/>
      <c r="Q41" s="57"/>
      <c r="R41" s="58"/>
      <c r="Y41" s="68" t="s">
        <v>61</v>
      </c>
      <c r="Z41" s="68"/>
      <c r="AA41" s="68"/>
      <c r="AB41" s="72">
        <f>AB33*(7.5/10)</f>
        <v>102912902093.60553</v>
      </c>
      <c r="AC41" s="72"/>
    </row>
    <row r="42" spans="1:29" x14ac:dyDescent="0.3">
      <c r="I42" s="39"/>
      <c r="K42" s="4"/>
      <c r="L42" s="56"/>
      <c r="M42" s="56"/>
      <c r="N42" s="30"/>
      <c r="O42" s="30"/>
      <c r="P42" s="57"/>
      <c r="Q42" s="57"/>
      <c r="R42" s="58"/>
    </row>
    <row r="43" spans="1:29" x14ac:dyDescent="0.3">
      <c r="E43" s="69"/>
      <c r="F43" s="69"/>
      <c r="I43" s="39"/>
      <c r="J43" s="4"/>
      <c r="K43" s="4"/>
      <c r="L43" s="56"/>
      <c r="M43" s="56"/>
      <c r="N43" s="30"/>
      <c r="O43" s="30"/>
      <c r="P43" s="57"/>
      <c r="Q43" s="57"/>
      <c r="R43" s="58"/>
    </row>
    <row r="44" spans="1:29" x14ac:dyDescent="0.3">
      <c r="E44" s="69"/>
      <c r="F44" s="69"/>
      <c r="I44" s="39"/>
      <c r="K44" s="55"/>
      <c r="L44" s="56"/>
      <c r="M44" s="56"/>
      <c r="N44" s="30"/>
      <c r="O44" s="30"/>
      <c r="P44" s="57"/>
      <c r="Q44" s="57"/>
      <c r="R44" s="58"/>
    </row>
    <row r="45" spans="1:29" x14ac:dyDescent="0.3">
      <c r="E45" s="69"/>
      <c r="F45" s="69"/>
      <c r="I45" s="39"/>
      <c r="K45" s="55"/>
      <c r="L45" s="56"/>
      <c r="M45" s="56"/>
      <c r="N45" s="30"/>
      <c r="O45" s="30"/>
      <c r="P45" s="57"/>
      <c r="Q45" s="57"/>
      <c r="R45" s="58"/>
    </row>
    <row r="46" spans="1:29" x14ac:dyDescent="0.3">
      <c r="E46" s="69"/>
      <c r="F46" s="69"/>
      <c r="J46" s="4"/>
    </row>
    <row r="48" spans="1:29" s="2" customFormat="1" x14ac:dyDescent="0.3">
      <c r="A48" s="4"/>
      <c r="G48" s="4"/>
      <c r="H48" s="4"/>
      <c r="R48" s="3"/>
      <c r="S48" s="4"/>
      <c r="V48" s="4"/>
      <c r="W48" s="4"/>
    </row>
    <row r="49" spans="1:23" s="2" customFormat="1" x14ac:dyDescent="0.3">
      <c r="A49" s="4"/>
      <c r="B49" s="4"/>
      <c r="C49" s="4"/>
      <c r="D49" s="4"/>
      <c r="E49" s="4"/>
      <c r="F49" s="4"/>
      <c r="G49" s="4"/>
      <c r="H49" s="4"/>
      <c r="R49" s="3"/>
      <c r="S49" s="4"/>
      <c r="V49" s="4"/>
      <c r="W49" s="4"/>
    </row>
    <row r="50" spans="1:23" s="2" customFormat="1" x14ac:dyDescent="0.3">
      <c r="A50" s="4"/>
      <c r="B50" s="4"/>
      <c r="C50" s="4"/>
      <c r="D50" s="4"/>
      <c r="E50" s="69"/>
      <c r="F50" s="69"/>
      <c r="G50" s="4"/>
      <c r="H50" s="4"/>
      <c r="R50" s="3"/>
      <c r="S50" s="4"/>
      <c r="V50" s="4"/>
      <c r="W50" s="4"/>
    </row>
    <row r="51" spans="1:23" s="2" customFormat="1" x14ac:dyDescent="0.3">
      <c r="A51" s="4"/>
      <c r="B51" s="4"/>
      <c r="C51" s="4"/>
      <c r="D51" s="4"/>
      <c r="E51" s="69"/>
      <c r="F51" s="69"/>
      <c r="G51" s="4"/>
      <c r="H51" s="4"/>
      <c r="K51" s="2" t="s">
        <v>63</v>
      </c>
      <c r="R51" s="3"/>
      <c r="S51" s="4"/>
      <c r="V51" s="4"/>
      <c r="W51" s="4"/>
    </row>
    <row r="52" spans="1:23" s="2" customFormat="1" x14ac:dyDescent="0.3">
      <c r="A52" s="4"/>
      <c r="B52" s="4"/>
      <c r="C52" s="4"/>
      <c r="D52" s="4"/>
      <c r="E52" s="69"/>
      <c r="F52" s="69"/>
      <c r="G52" s="4"/>
      <c r="H52" s="4"/>
      <c r="R52" s="3"/>
      <c r="S52" s="4"/>
      <c r="V52" s="4"/>
      <c r="W52" s="4"/>
    </row>
    <row r="53" spans="1:23" x14ac:dyDescent="0.3">
      <c r="E53" s="69"/>
      <c r="F53" s="69"/>
    </row>
    <row r="56" spans="1:23" s="2" customFormat="1" x14ac:dyDescent="0.3">
      <c r="A56" s="4"/>
      <c r="B56" s="4"/>
      <c r="C56" s="4"/>
      <c r="D56" s="4"/>
      <c r="E56" s="4"/>
      <c r="F56" s="4"/>
      <c r="G56" s="4"/>
      <c r="H56" s="9"/>
      <c r="R56" s="3"/>
      <c r="S56" s="4"/>
    </row>
    <row r="57" spans="1:23" s="2" customFormat="1" x14ac:dyDescent="0.3">
      <c r="A57" s="4"/>
      <c r="B57" s="4"/>
      <c r="C57" s="4"/>
      <c r="D57" s="4"/>
      <c r="E57" s="4"/>
      <c r="F57" s="4"/>
      <c r="G57" s="4"/>
      <c r="H57" s="11"/>
      <c r="R57" s="3"/>
      <c r="S57" s="4"/>
    </row>
    <row r="58" spans="1:23" s="2" customFormat="1" x14ac:dyDescent="0.3">
      <c r="A58" s="4"/>
      <c r="B58" s="4"/>
      <c r="C58" s="4"/>
      <c r="D58" s="4"/>
      <c r="E58" s="4"/>
      <c r="F58" s="4"/>
      <c r="G58" s="4"/>
      <c r="H58" s="13"/>
      <c r="R58" s="3"/>
      <c r="S58" s="4"/>
    </row>
    <row r="59" spans="1:23" s="2" customFormat="1" x14ac:dyDescent="0.3">
      <c r="A59" s="4"/>
      <c r="B59" s="4"/>
      <c r="C59" s="4"/>
      <c r="D59" s="4"/>
      <c r="E59" s="4"/>
      <c r="F59" s="4"/>
      <c r="G59" s="4"/>
      <c r="H59" s="11"/>
      <c r="R59" s="3"/>
      <c r="S59" s="4"/>
    </row>
    <row r="60" spans="1:23" s="2" customFormat="1" x14ac:dyDescent="0.3">
      <c r="A60" s="4"/>
      <c r="B60" s="4"/>
      <c r="C60" s="4"/>
      <c r="D60" s="4"/>
      <c r="E60" s="4"/>
      <c r="F60" s="4"/>
      <c r="G60" s="4"/>
      <c r="H60" s="30"/>
      <c r="R60" s="3"/>
      <c r="S60" s="4"/>
    </row>
    <row r="61" spans="1:23" s="2" customFormat="1" x14ac:dyDescent="0.3">
      <c r="A61" s="4"/>
      <c r="B61" s="4"/>
      <c r="C61" s="4"/>
      <c r="D61" s="4"/>
      <c r="E61" s="4"/>
      <c r="F61" s="4"/>
      <c r="G61" s="4"/>
      <c r="H61" s="30"/>
      <c r="R61" s="3"/>
      <c r="S61" s="4"/>
    </row>
    <row r="62" spans="1:23" s="2" customFormat="1" x14ac:dyDescent="0.3">
      <c r="A62" s="4"/>
      <c r="B62" s="4"/>
      <c r="C62" s="4"/>
      <c r="D62" s="4"/>
      <c r="E62" s="4"/>
      <c r="F62" s="4"/>
      <c r="G62" s="4"/>
      <c r="H62" s="11"/>
      <c r="R62" s="3"/>
      <c r="S62" s="4"/>
    </row>
    <row r="63" spans="1:23" s="2" customFormat="1" x14ac:dyDescent="0.3">
      <c r="A63" s="4"/>
      <c r="B63" s="4"/>
      <c r="C63" s="4"/>
      <c r="D63" s="4"/>
      <c r="E63" s="4"/>
      <c r="F63" s="4"/>
      <c r="G63" s="4"/>
      <c r="H63" s="11"/>
      <c r="R63" s="3"/>
      <c r="S63" s="4"/>
    </row>
    <row r="64" spans="1:23" s="2" customFormat="1" x14ac:dyDescent="0.3">
      <c r="A64" s="4"/>
      <c r="B64" s="4"/>
      <c r="C64" s="4"/>
      <c r="D64" s="4"/>
      <c r="E64" s="4"/>
      <c r="F64" s="4"/>
      <c r="G64" s="4"/>
      <c r="H64" s="11"/>
      <c r="R64" s="3"/>
      <c r="S64" s="4"/>
    </row>
    <row r="66" spans="1:19" s="2" customFormat="1" x14ac:dyDescent="0.3">
      <c r="A66" s="4"/>
      <c r="B66" s="4"/>
      <c r="C66" s="4"/>
      <c r="D66" s="4"/>
      <c r="E66" s="4"/>
      <c r="F66" s="4"/>
      <c r="G66" s="4"/>
      <c r="H66" s="44"/>
      <c r="R66" s="3"/>
      <c r="S66" s="4"/>
    </row>
  </sheetData>
  <mergeCells count="64">
    <mergeCell ref="Y10:AA10"/>
    <mergeCell ref="B2:G2"/>
    <mergeCell ref="B3:C3"/>
    <mergeCell ref="D3:G3"/>
    <mergeCell ref="B4:C4"/>
    <mergeCell ref="D4:G4"/>
    <mergeCell ref="B5:C5"/>
    <mergeCell ref="D5:G5"/>
    <mergeCell ref="B6:C6"/>
    <mergeCell ref="D6:G6"/>
    <mergeCell ref="B10:G10"/>
    <mergeCell ref="I10:S10"/>
    <mergeCell ref="U10:W10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7:D17"/>
    <mergeCell ref="E17:G17"/>
    <mergeCell ref="B18:D18"/>
    <mergeCell ref="E18:G18"/>
    <mergeCell ref="B25:F25"/>
    <mergeCell ref="C27:D27"/>
    <mergeCell ref="E27:F27"/>
    <mergeCell ref="AB31:AC31"/>
    <mergeCell ref="C32:D32"/>
    <mergeCell ref="E32:F32"/>
    <mergeCell ref="AB32:AC32"/>
    <mergeCell ref="Y28:AC28"/>
    <mergeCell ref="C29:D29"/>
    <mergeCell ref="E29:F29"/>
    <mergeCell ref="C30:D30"/>
    <mergeCell ref="E30:F30"/>
    <mergeCell ref="Y30:AA30"/>
    <mergeCell ref="AB30:AC30"/>
    <mergeCell ref="C28:D28"/>
    <mergeCell ref="E28:F28"/>
    <mergeCell ref="C35:D35"/>
    <mergeCell ref="E35:F35"/>
    <mergeCell ref="C31:D31"/>
    <mergeCell ref="E31:F31"/>
    <mergeCell ref="Y31:AA31"/>
    <mergeCell ref="C33:D33"/>
    <mergeCell ref="E33:F33"/>
    <mergeCell ref="AB33:AC33"/>
    <mergeCell ref="C34:D34"/>
    <mergeCell ref="E34:F34"/>
    <mergeCell ref="Y39:AA39"/>
    <mergeCell ref="AB39:AC39"/>
    <mergeCell ref="AB40:AC40"/>
    <mergeCell ref="AB41:AC41"/>
    <mergeCell ref="C36:D36"/>
    <mergeCell ref="E36:F36"/>
    <mergeCell ref="Y36:AC36"/>
    <mergeCell ref="C37:D37"/>
    <mergeCell ref="E37:F37"/>
    <mergeCell ref="Y38:AA38"/>
    <mergeCell ref="AB38:AC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Righi, Cecilia</dc:creator>
  <cp:lastModifiedBy>Righi, Cecilia</cp:lastModifiedBy>
  <dcterms:created xsi:type="dcterms:W3CDTF">2015-06-05T18:17:20Z</dcterms:created>
  <dcterms:modified xsi:type="dcterms:W3CDTF">2026-07-06T07:28:12Z</dcterms:modified>
</cp:coreProperties>
</file>